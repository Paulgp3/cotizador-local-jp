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pabloguzman/Documents/MEDIO ANGULAR/2025/cotizadores/cotizador-produccion-ajustes/"/>
    </mc:Choice>
  </mc:AlternateContent>
  <xr:revisionPtr revIDLastSave="0" documentId="8_{841E66E5-50BC-744E-9993-4DCF088D3250}" xr6:coauthVersionLast="47" xr6:coauthVersionMax="47" xr10:uidLastSave="{00000000-0000-0000-0000-000000000000}"/>
  <bookViews>
    <workbookView xWindow="60" yWindow="600" windowWidth="25040" windowHeight="15540" activeTab="1" xr2:uid="{0FA73C37-DAC8-B444-B68D-606F22F9D158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2" l="1"/>
  <c r="F56" i="2"/>
  <c r="F55" i="2"/>
  <c r="D57" i="2"/>
  <c r="D56" i="2"/>
  <c r="D55" i="2"/>
  <c r="D54" i="2"/>
  <c r="F54" i="2" s="1"/>
  <c r="D53" i="2"/>
  <c r="F53" i="2" s="1"/>
  <c r="D47" i="2"/>
  <c r="F47" i="2" s="1"/>
  <c r="D46" i="2"/>
  <c r="F46" i="2" s="1"/>
  <c r="D45" i="2"/>
  <c r="F45" i="2" s="1"/>
  <c r="D44" i="2"/>
  <c r="F44" i="2" s="1"/>
  <c r="D43" i="2"/>
  <c r="F43" i="2" s="1"/>
  <c r="D37" i="2"/>
  <c r="F37" i="2" s="1"/>
  <c r="D36" i="2"/>
  <c r="F36" i="2" s="1"/>
  <c r="D35" i="2"/>
  <c r="F35" i="2" s="1"/>
  <c r="D34" i="2"/>
  <c r="F34" i="2" s="1"/>
  <c r="D27" i="2"/>
  <c r="F27" i="2" s="1"/>
  <c r="D26" i="2"/>
  <c r="F26" i="2" s="1"/>
  <c r="D25" i="2"/>
  <c r="F25" i="2" s="1"/>
  <c r="D24" i="2"/>
  <c r="F24" i="2" s="1"/>
  <c r="D19" i="2"/>
  <c r="F19" i="2" s="1"/>
  <c r="D18" i="2"/>
  <c r="F18" i="2" s="1"/>
  <c r="D17" i="2"/>
  <c r="F17" i="2" s="1"/>
  <c r="D16" i="2"/>
  <c r="F16" i="2" s="1"/>
  <c r="D15" i="2"/>
  <c r="F15" i="2" s="1"/>
  <c r="D14" i="2"/>
  <c r="F14" i="2" s="1"/>
  <c r="D8" i="2"/>
  <c r="F8" i="2" s="1"/>
  <c r="D5" i="2"/>
  <c r="F5" i="2" s="1"/>
  <c r="D4" i="2"/>
  <c r="F4" i="2" s="1"/>
  <c r="D3" i="2"/>
  <c r="F3" i="2" s="1"/>
  <c r="C3" i="2"/>
  <c r="C34" i="2"/>
  <c r="C35" i="2"/>
  <c r="C36" i="2"/>
  <c r="C37" i="2"/>
  <c r="C38" i="2"/>
  <c r="D38" i="2" s="1"/>
  <c r="F38" i="2" s="1"/>
  <c r="C39" i="2"/>
  <c r="D39" i="2" s="1"/>
  <c r="F39" i="2" s="1"/>
  <c r="C40" i="2"/>
  <c r="D40" i="2" s="1"/>
  <c r="F40" i="2" s="1"/>
  <c r="C41" i="2"/>
  <c r="D41" i="2" s="1"/>
  <c r="F41" i="2" s="1"/>
  <c r="C42" i="2"/>
  <c r="D42" i="2" s="1"/>
  <c r="F42" i="2" s="1"/>
  <c r="C43" i="2"/>
  <c r="C44" i="2"/>
  <c r="C45" i="2"/>
  <c r="C46" i="2"/>
  <c r="C47" i="2"/>
  <c r="C48" i="2"/>
  <c r="D48" i="2" s="1"/>
  <c r="F48" i="2" s="1"/>
  <c r="C49" i="2"/>
  <c r="D49" i="2" s="1"/>
  <c r="F49" i="2" s="1"/>
  <c r="C50" i="2"/>
  <c r="D50" i="2" s="1"/>
  <c r="F50" i="2" s="1"/>
  <c r="C51" i="2"/>
  <c r="D51" i="2" s="1"/>
  <c r="F51" i="2" s="1"/>
  <c r="C52" i="2"/>
  <c r="D52" i="2" s="1"/>
  <c r="F52" i="2" s="1"/>
  <c r="C53" i="2"/>
  <c r="C54" i="2"/>
  <c r="C55" i="2"/>
  <c r="C56" i="2"/>
  <c r="C57" i="2"/>
  <c r="C58" i="2"/>
  <c r="D58" i="2" s="1"/>
  <c r="F58" i="2" s="1"/>
  <c r="C59" i="2"/>
  <c r="D59" i="2" s="1"/>
  <c r="F59" i="2" s="1"/>
  <c r="C60" i="2"/>
  <c r="D60" i="2" s="1"/>
  <c r="F60" i="2" s="1"/>
  <c r="C61" i="2"/>
  <c r="D61" i="2" s="1"/>
  <c r="F61" i="2" s="1"/>
  <c r="C62" i="2"/>
  <c r="D62" i="2" s="1"/>
  <c r="F62" i="2" s="1"/>
  <c r="C32" i="2"/>
  <c r="D32" i="2" s="1"/>
  <c r="F32" i="2" s="1"/>
  <c r="C33" i="2"/>
  <c r="D33" i="2" s="1"/>
  <c r="F33" i="2" s="1"/>
  <c r="C25" i="2"/>
  <c r="C26" i="2"/>
  <c r="C27" i="2"/>
  <c r="C28" i="2"/>
  <c r="D28" i="2" s="1"/>
  <c r="F28" i="2" s="1"/>
  <c r="C29" i="2"/>
  <c r="D29" i="2" s="1"/>
  <c r="F29" i="2" s="1"/>
  <c r="C30" i="2"/>
  <c r="D30" i="2" s="1"/>
  <c r="F30" i="2" s="1"/>
  <c r="C31" i="2"/>
  <c r="D31" i="2" s="1"/>
  <c r="F31" i="2" s="1"/>
  <c r="C18" i="2"/>
  <c r="C19" i="2"/>
  <c r="C20" i="2"/>
  <c r="D20" i="2" s="1"/>
  <c r="F20" i="2" s="1"/>
  <c r="C21" i="2"/>
  <c r="D21" i="2" s="1"/>
  <c r="F21" i="2" s="1"/>
  <c r="C22" i="2"/>
  <c r="D22" i="2" s="1"/>
  <c r="F22" i="2" s="1"/>
  <c r="C23" i="2"/>
  <c r="D23" i="2" s="1"/>
  <c r="F23" i="2" s="1"/>
  <c r="C24" i="2"/>
  <c r="C9" i="2"/>
  <c r="D9" i="2" s="1"/>
  <c r="F9" i="2" s="1"/>
  <c r="C10" i="2"/>
  <c r="D10" i="2" s="1"/>
  <c r="F10" i="2" s="1"/>
  <c r="C11" i="2"/>
  <c r="D11" i="2" s="1"/>
  <c r="F11" i="2" s="1"/>
  <c r="C12" i="2"/>
  <c r="D12" i="2" s="1"/>
  <c r="F12" i="2" s="1"/>
  <c r="C13" i="2"/>
  <c r="D13" i="2" s="1"/>
  <c r="F13" i="2" s="1"/>
  <c r="C14" i="2"/>
  <c r="C15" i="2"/>
  <c r="C16" i="2"/>
  <c r="C17" i="2"/>
  <c r="C4" i="2"/>
  <c r="C5" i="2"/>
  <c r="C6" i="2"/>
  <c r="D6" i="2" s="1"/>
  <c r="F6" i="2" s="1"/>
  <c r="C7" i="2"/>
  <c r="D7" i="2" s="1"/>
  <c r="F7" i="2" s="1"/>
  <c r="C8" i="2"/>
  <c r="G3" i="1"/>
  <c r="F3" i="1"/>
  <c r="F2" i="1"/>
  <c r="E2" i="1"/>
  <c r="J11" i="1"/>
  <c r="J10" i="1"/>
  <c r="J3" i="1"/>
  <c r="J2" i="1"/>
  <c r="I2" i="1"/>
  <c r="I3" i="1"/>
  <c r="H3" i="1"/>
  <c r="E3" i="1"/>
  <c r="D3" i="1"/>
  <c r="H2" i="1"/>
  <c r="G2" i="1"/>
  <c r="D2" i="1"/>
  <c r="C2" i="1"/>
</calcChain>
</file>

<file path=xl/sharedStrings.xml><?xml version="1.0" encoding="utf-8"?>
<sst xmlns="http://schemas.openxmlformats.org/spreadsheetml/2006/main" count="21" uniqueCount="19">
  <si>
    <t>MONTO</t>
  </si>
  <si>
    <t>Descuentos:</t>
  </si>
  <si>
    <t>1 día 0%</t>
  </si>
  <si>
    <t>2 días 15%</t>
  </si>
  <si>
    <t>3 a 6 días 20%</t>
  </si>
  <si>
    <t>7 a 29 días 50%</t>
  </si>
  <si>
    <t>30+ días 60%</t>
  </si>
  <si>
    <t>COTIZADOR</t>
  </si>
  <si>
    <t>PROPUESTA</t>
  </si>
  <si>
    <t>2 a 3 días 15%</t>
  </si>
  <si>
    <t>4 a 29 días 3.5 días</t>
  </si>
  <si>
    <t>DIAS</t>
  </si>
  <si>
    <t>CANTIDAD</t>
  </si>
  <si>
    <t>TOTAL</t>
  </si>
  <si>
    <t>PRECIO POR DIA CON DESCUENTO</t>
  </si>
  <si>
    <t>(CANTIDAD X DIAS X PRECIO POR DIA CON DESCUENTO)= TOTAL</t>
  </si>
  <si>
    <t>PRECIO DE RENTA EN EL PERIODO</t>
  </si>
  <si>
    <t>(PRECIO DE RENTA EN EL PERIODO / DIAS)=PRECIO POR DIA CON DESCUENTO</t>
  </si>
  <si>
    <t>PRECIO DE LISTA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</si>
</sst>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1FE8-065B-EA4A-BB47-63A33D840ADE}">
  <dimension ref="A1:O16"/>
  <sheetViews>
    <sheetView workbookViewId="0">
      <selection activeCell="H3" sqref="H3"/>
    </sheetView>
  </sheetViews>
  <sheetFormatPr baseColWidth="10" defaultRowHeight="16" x14ac:dyDescent="0.2"/>
  <cols>
    <col min="4" max="4" width="17.1640625" bestFit="1" customWidth="1"/>
    <col min="5" max="5" width="13.33203125" bestFit="1" customWidth="1"/>
  </cols>
  <sheetData>
    <row r="1" spans="1:15" x14ac:dyDescent="0.2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</row>
    <row r="2" spans="1:15" x14ac:dyDescent="0.2">
      <c r="A2" t="s">
        <v>7</v>
      </c>
      <c r="B2">
        <v>1000</v>
      </c>
      <c r="C2">
        <f>B2</f>
        <v>1000</v>
      </c>
      <c r="D2">
        <f>(B2*0.85)*2</f>
        <v>1700</v>
      </c>
      <c r="E2">
        <f>(B2*0.8)*3</f>
        <v>2400</v>
      </c>
      <c r="F2">
        <f>(B2*0.8)*4</f>
        <v>3200</v>
      </c>
      <c r="G2">
        <f>(B2*0.8)*5</f>
        <v>4000</v>
      </c>
      <c r="H2">
        <f>(B2*0.8)*6</f>
        <v>4800</v>
      </c>
      <c r="I2">
        <f>B2*3.5</f>
        <v>3500</v>
      </c>
      <c r="J2">
        <f>(B2*30)*0.5</f>
        <v>15000</v>
      </c>
    </row>
    <row r="3" spans="1:15" x14ac:dyDescent="0.2">
      <c r="A3" t="s">
        <v>8</v>
      </c>
      <c r="B3">
        <v>1000</v>
      </c>
      <c r="C3">
        <v>1000</v>
      </c>
      <c r="D3">
        <f>(B3*0.85)*2</f>
        <v>1700</v>
      </c>
      <c r="E3">
        <f>(B3*0.8)*3</f>
        <v>2400</v>
      </c>
      <c r="F3">
        <f>B3*3.5</f>
        <v>3500</v>
      </c>
      <c r="G3">
        <f>B3*3.5</f>
        <v>3500</v>
      </c>
      <c r="H3">
        <f>B3*3.5</f>
        <v>3500</v>
      </c>
      <c r="I3">
        <f>B3*3.5</f>
        <v>3500</v>
      </c>
      <c r="J3">
        <f>B3*((30/7))*2.5</f>
        <v>10714.285714285714</v>
      </c>
    </row>
    <row r="9" spans="1:15" x14ac:dyDescent="0.2">
      <c r="J9">
        <v>30</v>
      </c>
    </row>
    <row r="10" spans="1:15" x14ac:dyDescent="0.2">
      <c r="J10">
        <f>(B10*30)*0.5</f>
        <v>0</v>
      </c>
    </row>
    <row r="11" spans="1:15" ht="17" x14ac:dyDescent="0.2">
      <c r="D11" s="1" t="s">
        <v>1</v>
      </c>
      <c r="E11" s="1" t="s">
        <v>1</v>
      </c>
      <c r="J11">
        <f>B11*((30/7))*2.5</f>
        <v>0</v>
      </c>
    </row>
    <row r="12" spans="1:15" ht="17" x14ac:dyDescent="0.2">
      <c r="D12" s="1" t="s">
        <v>2</v>
      </c>
      <c r="E12" s="1" t="s">
        <v>2</v>
      </c>
    </row>
    <row r="13" spans="1:15" ht="17" x14ac:dyDescent="0.2">
      <c r="D13" s="1" t="s">
        <v>3</v>
      </c>
      <c r="E13" s="1" t="s">
        <v>9</v>
      </c>
    </row>
    <row r="14" spans="1:15" ht="17" x14ac:dyDescent="0.2">
      <c r="D14" s="1" t="s">
        <v>4</v>
      </c>
      <c r="E14" s="1" t="s">
        <v>10</v>
      </c>
    </row>
    <row r="15" spans="1:15" ht="17" x14ac:dyDescent="0.2">
      <c r="D15" s="1" t="s">
        <v>5</v>
      </c>
    </row>
    <row r="16" spans="1:15" ht="17" x14ac:dyDescent="0.2">
      <c r="D1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098F-1120-8847-B7AA-69BFA49B7C44}">
  <dimension ref="A1:F62"/>
  <sheetViews>
    <sheetView tabSelected="1" zoomScale="125" zoomScaleNormal="90" workbookViewId="0">
      <selection sqref="A1:C1048576"/>
    </sheetView>
  </sheetViews>
  <sheetFormatPr baseColWidth="10" defaultRowHeight="16" x14ac:dyDescent="0.2"/>
  <cols>
    <col min="2" max="2" width="25.83203125" bestFit="1" customWidth="1"/>
    <col min="3" max="3" width="31.83203125" bestFit="1" customWidth="1"/>
    <col min="4" max="4" width="69.83203125" bestFit="1" customWidth="1"/>
    <col min="6" max="6" width="55.5" bestFit="1" customWidth="1"/>
  </cols>
  <sheetData>
    <row r="1" spans="1:6" x14ac:dyDescent="0.2">
      <c r="A1" t="s">
        <v>11</v>
      </c>
      <c r="B1" t="s">
        <v>18</v>
      </c>
      <c r="C1" t="s">
        <v>16</v>
      </c>
      <c r="D1" t="s">
        <v>14</v>
      </c>
      <c r="E1" t="s">
        <v>12</v>
      </c>
      <c r="F1" t="s">
        <v>13</v>
      </c>
    </row>
    <row r="2" spans="1:6" x14ac:dyDescent="0.2">
      <c r="D2" t="s">
        <v>17</v>
      </c>
      <c r="F2" t="s">
        <v>15</v>
      </c>
    </row>
    <row r="3" spans="1:6" x14ac:dyDescent="0.2">
      <c r="A3">
        <v>1</v>
      </c>
      <c r="B3">
        <v>1000</v>
      </c>
      <c r="C3">
        <f>B3 * IF(A3=1, 1,
     IF(A3=2, 2*0.85,
     IF(A3=3, 3*0.8,
     IF(A3=4, 4*0.7,
     IF(A3&lt;15, (INT(A3/7)*3.5) + MIN(3.5, MOD(A3, 7)),
     IF(A3&lt;31, (INT(A3/7)*3) + MIN(3, MOD(A3, 7)),
               (INT(A3/7)*2.5) + MIN(2.5, MOD(A3, 7)))
     )))))</f>
        <v>1000</v>
      </c>
      <c r="D3">
        <f>C3/A3</f>
        <v>1000</v>
      </c>
      <c r="E3">
        <v>1</v>
      </c>
      <c r="F3">
        <f>E3*D3*A3</f>
        <v>1000</v>
      </c>
    </row>
    <row r="4" spans="1:6" x14ac:dyDescent="0.2">
      <c r="A4">
        <v>2</v>
      </c>
      <c r="B4">
        <v>1000</v>
      </c>
      <c r="C4">
        <f t="shared" ref="C4:C62" si="0">B4 * IF(A4=1, 1,
     IF(A4=2, 2*0.85,
     IF(A4=3, 3*0.8,
     IF(A4=4, 4*0.7,
     IF(A4&lt;15, (INT(A4/7)*3.5) + MIN(3.5, MOD(A4, 7)),
     IF(A4&lt;31, (INT(A4/7)*3) + MIN(3, MOD(A4, 7)),
               (INT(A4/7)*2.5) + MIN(2.5, MOD(A4, 7)))
     )))))</f>
        <v>1700</v>
      </c>
      <c r="D4">
        <f t="shared" ref="D4:D61" si="1">C4/A4</f>
        <v>850</v>
      </c>
      <c r="E4">
        <v>1</v>
      </c>
      <c r="F4">
        <f t="shared" ref="F4:F62" si="2">E4*D4*A4</f>
        <v>1700</v>
      </c>
    </row>
    <row r="5" spans="1:6" x14ac:dyDescent="0.2">
      <c r="A5">
        <v>3</v>
      </c>
      <c r="B5">
        <v>1000</v>
      </c>
      <c r="C5">
        <f t="shared" si="0"/>
        <v>2400.0000000000005</v>
      </c>
      <c r="D5">
        <f t="shared" si="1"/>
        <v>800.00000000000011</v>
      </c>
      <c r="E5">
        <v>1</v>
      </c>
      <c r="F5">
        <f t="shared" si="2"/>
        <v>2400.0000000000005</v>
      </c>
    </row>
    <row r="6" spans="1:6" x14ac:dyDescent="0.2">
      <c r="A6">
        <v>4</v>
      </c>
      <c r="B6">
        <v>1000</v>
      </c>
      <c r="C6">
        <f t="shared" si="0"/>
        <v>2800</v>
      </c>
      <c r="D6">
        <f t="shared" si="1"/>
        <v>700</v>
      </c>
      <c r="E6">
        <v>1</v>
      </c>
      <c r="F6">
        <f t="shared" si="2"/>
        <v>2800</v>
      </c>
    </row>
    <row r="7" spans="1:6" x14ac:dyDescent="0.2">
      <c r="A7">
        <v>5</v>
      </c>
      <c r="B7">
        <v>1000</v>
      </c>
      <c r="C7">
        <f t="shared" si="0"/>
        <v>3500</v>
      </c>
      <c r="D7">
        <f t="shared" si="1"/>
        <v>700</v>
      </c>
      <c r="E7">
        <v>1</v>
      </c>
      <c r="F7">
        <f t="shared" si="2"/>
        <v>3500</v>
      </c>
    </row>
    <row r="8" spans="1:6" x14ac:dyDescent="0.2">
      <c r="A8">
        <v>6</v>
      </c>
      <c r="B8">
        <v>1000</v>
      </c>
      <c r="C8">
        <f t="shared" si="0"/>
        <v>3500</v>
      </c>
      <c r="D8">
        <f t="shared" si="1"/>
        <v>583.33333333333337</v>
      </c>
      <c r="E8">
        <v>1</v>
      </c>
      <c r="F8">
        <f t="shared" si="2"/>
        <v>3500</v>
      </c>
    </row>
    <row r="9" spans="1:6" x14ac:dyDescent="0.2">
      <c r="A9">
        <v>7</v>
      </c>
      <c r="B9">
        <v>1000</v>
      </c>
      <c r="C9">
        <f t="shared" si="0"/>
        <v>3500</v>
      </c>
      <c r="D9">
        <f t="shared" si="1"/>
        <v>500</v>
      </c>
      <c r="E9">
        <v>1</v>
      </c>
      <c r="F9">
        <f t="shared" si="2"/>
        <v>3500</v>
      </c>
    </row>
    <row r="10" spans="1:6" x14ac:dyDescent="0.2">
      <c r="A10">
        <v>8</v>
      </c>
      <c r="B10">
        <v>1000</v>
      </c>
      <c r="C10">
        <f t="shared" si="0"/>
        <v>4500</v>
      </c>
      <c r="D10">
        <f t="shared" si="1"/>
        <v>562.5</v>
      </c>
      <c r="E10">
        <v>1</v>
      </c>
      <c r="F10">
        <f t="shared" si="2"/>
        <v>4500</v>
      </c>
    </row>
    <row r="11" spans="1:6" x14ac:dyDescent="0.2">
      <c r="A11">
        <v>9</v>
      </c>
      <c r="B11">
        <v>1000</v>
      </c>
      <c r="C11">
        <f t="shared" si="0"/>
        <v>5500</v>
      </c>
      <c r="D11">
        <f t="shared" si="1"/>
        <v>611.11111111111109</v>
      </c>
      <c r="E11">
        <v>1</v>
      </c>
      <c r="F11">
        <f t="shared" si="2"/>
        <v>5500</v>
      </c>
    </row>
    <row r="12" spans="1:6" x14ac:dyDescent="0.2">
      <c r="A12">
        <v>10</v>
      </c>
      <c r="B12">
        <v>1000</v>
      </c>
      <c r="C12">
        <f t="shared" si="0"/>
        <v>6500</v>
      </c>
      <c r="D12">
        <f t="shared" si="1"/>
        <v>650</v>
      </c>
      <c r="E12">
        <v>1</v>
      </c>
      <c r="F12">
        <f t="shared" si="2"/>
        <v>6500</v>
      </c>
    </row>
    <row r="13" spans="1:6" x14ac:dyDescent="0.2">
      <c r="A13">
        <v>11</v>
      </c>
      <c r="B13">
        <v>1000</v>
      </c>
      <c r="C13">
        <f t="shared" si="0"/>
        <v>7000</v>
      </c>
      <c r="D13">
        <f t="shared" si="1"/>
        <v>636.36363636363637</v>
      </c>
      <c r="E13">
        <v>1</v>
      </c>
      <c r="F13">
        <f t="shared" si="2"/>
        <v>7000</v>
      </c>
    </row>
    <row r="14" spans="1:6" x14ac:dyDescent="0.2">
      <c r="A14">
        <v>12</v>
      </c>
      <c r="B14">
        <v>1000</v>
      </c>
      <c r="C14">
        <f t="shared" si="0"/>
        <v>7000</v>
      </c>
      <c r="D14">
        <f t="shared" si="1"/>
        <v>583.33333333333337</v>
      </c>
      <c r="E14">
        <v>1</v>
      </c>
      <c r="F14">
        <f t="shared" si="2"/>
        <v>7000</v>
      </c>
    </row>
    <row r="15" spans="1:6" x14ac:dyDescent="0.2">
      <c r="A15">
        <v>13</v>
      </c>
      <c r="B15">
        <v>1000</v>
      </c>
      <c r="C15">
        <f t="shared" si="0"/>
        <v>7000</v>
      </c>
      <c r="D15">
        <f t="shared" si="1"/>
        <v>538.46153846153845</v>
      </c>
      <c r="E15">
        <v>1</v>
      </c>
      <c r="F15">
        <f t="shared" si="2"/>
        <v>7000</v>
      </c>
    </row>
    <row r="16" spans="1:6" x14ac:dyDescent="0.2">
      <c r="A16">
        <v>14</v>
      </c>
      <c r="B16">
        <v>1000</v>
      </c>
      <c r="C16">
        <f t="shared" si="0"/>
        <v>7000</v>
      </c>
      <c r="D16">
        <f t="shared" si="1"/>
        <v>500</v>
      </c>
      <c r="E16">
        <v>1</v>
      </c>
      <c r="F16">
        <f t="shared" si="2"/>
        <v>7000</v>
      </c>
    </row>
    <row r="17" spans="1:6" x14ac:dyDescent="0.2">
      <c r="A17">
        <v>15</v>
      </c>
      <c r="B17">
        <v>1000</v>
      </c>
      <c r="C17">
        <f t="shared" si="0"/>
        <v>7000</v>
      </c>
      <c r="D17">
        <f t="shared" si="1"/>
        <v>466.66666666666669</v>
      </c>
      <c r="E17">
        <v>1</v>
      </c>
      <c r="F17">
        <f t="shared" si="2"/>
        <v>7000</v>
      </c>
    </row>
    <row r="18" spans="1:6" x14ac:dyDescent="0.2">
      <c r="A18">
        <v>16</v>
      </c>
      <c r="B18">
        <v>1000</v>
      </c>
      <c r="C18">
        <f>B18 * IF(A18=1, 1,
     IF(A18=2, 2*0.85,
     IF(A18=3, 3*0.8,
     IF(A18=4, 4*0.7,
     IF(A18&lt;15, (INT(A18/7)*3.5) + MIN(3.5, MOD(A18, 7)),
     IF(A18&lt;31, (INT(A18/7)*3) + MIN(3, MOD(A18, 7)),
               (INT(A18/7)*2.5) + MIN(2.5, MOD(A18, 7)))
     )))))</f>
        <v>8000</v>
      </c>
      <c r="D18">
        <f t="shared" si="1"/>
        <v>500</v>
      </c>
      <c r="E18">
        <v>1</v>
      </c>
      <c r="F18">
        <f t="shared" si="2"/>
        <v>8000</v>
      </c>
    </row>
    <row r="19" spans="1:6" x14ac:dyDescent="0.2">
      <c r="A19">
        <v>17</v>
      </c>
      <c r="B19">
        <v>1000</v>
      </c>
      <c r="C19">
        <f t="shared" si="0"/>
        <v>9000</v>
      </c>
      <c r="D19">
        <f t="shared" si="1"/>
        <v>529.41176470588232</v>
      </c>
      <c r="E19">
        <v>1</v>
      </c>
      <c r="F19">
        <f t="shared" si="2"/>
        <v>9000</v>
      </c>
    </row>
    <row r="20" spans="1:6" x14ac:dyDescent="0.2">
      <c r="A20">
        <v>18</v>
      </c>
      <c r="B20">
        <v>1000</v>
      </c>
      <c r="C20">
        <f t="shared" si="0"/>
        <v>9000</v>
      </c>
      <c r="D20">
        <f t="shared" si="1"/>
        <v>500</v>
      </c>
      <c r="E20">
        <v>1</v>
      </c>
      <c r="F20">
        <f t="shared" si="2"/>
        <v>9000</v>
      </c>
    </row>
    <row r="21" spans="1:6" x14ac:dyDescent="0.2">
      <c r="A21">
        <v>19</v>
      </c>
      <c r="B21">
        <v>1000</v>
      </c>
      <c r="C21">
        <f t="shared" si="0"/>
        <v>9000</v>
      </c>
      <c r="D21">
        <f t="shared" si="1"/>
        <v>473.68421052631578</v>
      </c>
      <c r="E21">
        <v>1</v>
      </c>
      <c r="F21">
        <f t="shared" si="2"/>
        <v>9000</v>
      </c>
    </row>
    <row r="22" spans="1:6" x14ac:dyDescent="0.2">
      <c r="A22">
        <v>20</v>
      </c>
      <c r="B22">
        <v>1000</v>
      </c>
      <c r="C22">
        <f t="shared" si="0"/>
        <v>9000</v>
      </c>
      <c r="D22">
        <f t="shared" si="1"/>
        <v>450</v>
      </c>
      <c r="E22">
        <v>1</v>
      </c>
      <c r="F22">
        <f t="shared" si="2"/>
        <v>9000</v>
      </c>
    </row>
    <row r="23" spans="1:6" x14ac:dyDescent="0.2">
      <c r="A23">
        <v>21</v>
      </c>
      <c r="B23">
        <v>1000</v>
      </c>
      <c r="C23">
        <f t="shared" si="0"/>
        <v>9000</v>
      </c>
      <c r="D23">
        <f t="shared" si="1"/>
        <v>428.57142857142856</v>
      </c>
      <c r="E23">
        <v>1</v>
      </c>
      <c r="F23">
        <f t="shared" si="2"/>
        <v>9000</v>
      </c>
    </row>
    <row r="24" spans="1:6" x14ac:dyDescent="0.2">
      <c r="A24">
        <v>22</v>
      </c>
      <c r="B24">
        <v>1000</v>
      </c>
      <c r="C24">
        <f t="shared" si="0"/>
        <v>10000</v>
      </c>
      <c r="D24">
        <f t="shared" si="1"/>
        <v>454.54545454545456</v>
      </c>
      <c r="E24">
        <v>1</v>
      </c>
      <c r="F24">
        <f t="shared" si="2"/>
        <v>10000</v>
      </c>
    </row>
    <row r="25" spans="1:6" x14ac:dyDescent="0.2">
      <c r="A25">
        <v>23</v>
      </c>
      <c r="B25">
        <v>1000</v>
      </c>
      <c r="C25">
        <f>B25 * IF(A25=1, 1,
     IF(A25=2, 2*0.85,
     IF(A25=3, 3*0.8,
     IF(A25=4, 4*0.7,
     IF(A25&lt;15, (INT(A25/7)*3.5) + MIN(3.5, MOD(A25, 7)),
     IF(A25&lt;31, (INT(A25/7)*3) + MIN(3, MOD(A25, 7)),
               (INT(A25/7)*2.5) + MIN(2.5, MOD(A25, 7)))
     )))))</f>
        <v>11000</v>
      </c>
      <c r="D25">
        <f t="shared" si="1"/>
        <v>478.26086956521738</v>
      </c>
      <c r="E25">
        <v>1</v>
      </c>
      <c r="F25">
        <f t="shared" si="2"/>
        <v>11000</v>
      </c>
    </row>
    <row r="26" spans="1:6" x14ac:dyDescent="0.2">
      <c r="A26">
        <v>24</v>
      </c>
      <c r="B26">
        <v>1000</v>
      </c>
      <c r="C26">
        <f t="shared" si="0"/>
        <v>12000</v>
      </c>
      <c r="D26">
        <f t="shared" si="1"/>
        <v>500</v>
      </c>
      <c r="E26">
        <v>1</v>
      </c>
      <c r="F26">
        <f t="shared" si="2"/>
        <v>12000</v>
      </c>
    </row>
    <row r="27" spans="1:6" x14ac:dyDescent="0.2">
      <c r="A27">
        <v>25</v>
      </c>
      <c r="B27">
        <v>1000</v>
      </c>
      <c r="C27">
        <f t="shared" si="0"/>
        <v>12000</v>
      </c>
      <c r="D27">
        <f t="shared" si="1"/>
        <v>480</v>
      </c>
      <c r="E27">
        <v>1</v>
      </c>
      <c r="F27">
        <f t="shared" si="2"/>
        <v>12000</v>
      </c>
    </row>
    <row r="28" spans="1:6" x14ac:dyDescent="0.2">
      <c r="A28">
        <v>26</v>
      </c>
      <c r="B28">
        <v>1000</v>
      </c>
      <c r="C28">
        <f t="shared" si="0"/>
        <v>12000</v>
      </c>
      <c r="D28">
        <f t="shared" si="1"/>
        <v>461.53846153846155</v>
      </c>
      <c r="E28">
        <v>1</v>
      </c>
      <c r="F28">
        <f t="shared" si="2"/>
        <v>12000</v>
      </c>
    </row>
    <row r="29" spans="1:6" x14ac:dyDescent="0.2">
      <c r="A29">
        <v>27</v>
      </c>
      <c r="B29">
        <v>1000</v>
      </c>
      <c r="C29">
        <f t="shared" si="0"/>
        <v>12000</v>
      </c>
      <c r="D29">
        <f t="shared" si="1"/>
        <v>444.44444444444446</v>
      </c>
      <c r="E29">
        <v>1</v>
      </c>
      <c r="F29">
        <f t="shared" si="2"/>
        <v>12000</v>
      </c>
    </row>
    <row r="30" spans="1:6" x14ac:dyDescent="0.2">
      <c r="A30">
        <v>28</v>
      </c>
      <c r="B30">
        <v>1000</v>
      </c>
      <c r="C30">
        <f t="shared" si="0"/>
        <v>12000</v>
      </c>
      <c r="D30">
        <f t="shared" si="1"/>
        <v>428.57142857142856</v>
      </c>
      <c r="E30">
        <v>1</v>
      </c>
      <c r="F30">
        <f t="shared" si="2"/>
        <v>12000</v>
      </c>
    </row>
    <row r="31" spans="1:6" x14ac:dyDescent="0.2">
      <c r="A31">
        <v>29</v>
      </c>
      <c r="B31">
        <v>1000</v>
      </c>
      <c r="C31">
        <f t="shared" si="0"/>
        <v>13000</v>
      </c>
      <c r="D31">
        <f t="shared" si="1"/>
        <v>448.27586206896552</v>
      </c>
      <c r="E31">
        <v>1</v>
      </c>
      <c r="F31">
        <f t="shared" si="2"/>
        <v>13000</v>
      </c>
    </row>
    <row r="32" spans="1:6" x14ac:dyDescent="0.2">
      <c r="A32">
        <v>30</v>
      </c>
      <c r="B32">
        <v>1000</v>
      </c>
      <c r="C32">
        <f>B32 * IF(A32=1, 1,
     IF(A32=2, 2*0.85,
     IF(A32=3, 3*0.8,
     IF(A32=4, 4*0.7,
     IF(A32&lt;15, (INT(A32/7)*3.5) + MIN(3.5, MOD(A32, 7)),
     IF(A32&lt;31, (INT(A32/7)*3) + MIN(3, MOD(A32, 7)),
               (INT(A32/7)*2.5) + MIN(2.5, MOD(A32, 7)))
     )))))</f>
        <v>14000</v>
      </c>
      <c r="D32">
        <f t="shared" si="1"/>
        <v>466.66666666666669</v>
      </c>
      <c r="E32">
        <v>1</v>
      </c>
      <c r="F32">
        <f t="shared" si="2"/>
        <v>14000</v>
      </c>
    </row>
    <row r="33" spans="1:6" x14ac:dyDescent="0.2">
      <c r="A33">
        <v>31</v>
      </c>
      <c r="B33">
        <v>1000</v>
      </c>
      <c r="C33">
        <f t="shared" si="0"/>
        <v>12500</v>
      </c>
      <c r="D33">
        <f t="shared" si="1"/>
        <v>403.22580645161293</v>
      </c>
      <c r="E33">
        <v>1</v>
      </c>
      <c r="F33">
        <f t="shared" si="2"/>
        <v>12500</v>
      </c>
    </row>
    <row r="34" spans="1:6" x14ac:dyDescent="0.2">
      <c r="A34">
        <v>32</v>
      </c>
      <c r="B34">
        <v>1000</v>
      </c>
      <c r="C34">
        <f t="shared" si="0"/>
        <v>12500</v>
      </c>
      <c r="D34">
        <f t="shared" si="1"/>
        <v>390.625</v>
      </c>
      <c r="E34">
        <v>1</v>
      </c>
      <c r="F34">
        <f t="shared" si="2"/>
        <v>12500</v>
      </c>
    </row>
    <row r="35" spans="1:6" x14ac:dyDescent="0.2">
      <c r="A35">
        <v>33</v>
      </c>
      <c r="B35">
        <v>1000</v>
      </c>
      <c r="C35">
        <f t="shared" si="0"/>
        <v>12500</v>
      </c>
      <c r="D35">
        <f t="shared" si="1"/>
        <v>378.78787878787881</v>
      </c>
      <c r="E35">
        <v>1</v>
      </c>
      <c r="F35">
        <f t="shared" si="2"/>
        <v>12500</v>
      </c>
    </row>
    <row r="36" spans="1:6" x14ac:dyDescent="0.2">
      <c r="A36">
        <v>34</v>
      </c>
      <c r="B36">
        <v>1000</v>
      </c>
      <c r="C36">
        <f t="shared" si="0"/>
        <v>12500</v>
      </c>
      <c r="D36">
        <f t="shared" si="1"/>
        <v>367.64705882352939</v>
      </c>
      <c r="E36">
        <v>1</v>
      </c>
      <c r="F36">
        <f t="shared" si="2"/>
        <v>12500</v>
      </c>
    </row>
    <row r="37" spans="1:6" x14ac:dyDescent="0.2">
      <c r="A37">
        <v>35</v>
      </c>
      <c r="B37">
        <v>1000</v>
      </c>
      <c r="C37">
        <f t="shared" si="0"/>
        <v>12500</v>
      </c>
      <c r="D37">
        <f t="shared" si="1"/>
        <v>357.14285714285717</v>
      </c>
      <c r="E37">
        <v>1</v>
      </c>
      <c r="F37">
        <f t="shared" si="2"/>
        <v>12500</v>
      </c>
    </row>
    <row r="38" spans="1:6" x14ac:dyDescent="0.2">
      <c r="A38">
        <v>36</v>
      </c>
      <c r="B38">
        <v>1000</v>
      </c>
      <c r="C38">
        <f t="shared" si="0"/>
        <v>13500</v>
      </c>
      <c r="D38">
        <f t="shared" si="1"/>
        <v>375</v>
      </c>
      <c r="E38">
        <v>1</v>
      </c>
      <c r="F38">
        <f t="shared" si="2"/>
        <v>13500</v>
      </c>
    </row>
    <row r="39" spans="1:6" x14ac:dyDescent="0.2">
      <c r="A39">
        <v>37</v>
      </c>
      <c r="B39">
        <v>1000</v>
      </c>
      <c r="C39">
        <f t="shared" si="0"/>
        <v>14500</v>
      </c>
      <c r="D39">
        <f t="shared" si="1"/>
        <v>391.89189189189187</v>
      </c>
      <c r="E39">
        <v>1</v>
      </c>
      <c r="F39">
        <f t="shared" si="2"/>
        <v>14500</v>
      </c>
    </row>
    <row r="40" spans="1:6" x14ac:dyDescent="0.2">
      <c r="A40">
        <v>38</v>
      </c>
      <c r="B40">
        <v>1000</v>
      </c>
      <c r="C40">
        <f t="shared" si="0"/>
        <v>15000</v>
      </c>
      <c r="D40">
        <f t="shared" si="1"/>
        <v>394.73684210526318</v>
      </c>
      <c r="E40">
        <v>1</v>
      </c>
      <c r="F40">
        <f t="shared" si="2"/>
        <v>15000</v>
      </c>
    </row>
    <row r="41" spans="1:6" x14ac:dyDescent="0.2">
      <c r="A41">
        <v>39</v>
      </c>
      <c r="B41">
        <v>1000</v>
      </c>
      <c r="C41">
        <f t="shared" si="0"/>
        <v>15000</v>
      </c>
      <c r="D41">
        <f t="shared" si="1"/>
        <v>384.61538461538464</v>
      </c>
      <c r="E41">
        <v>1</v>
      </c>
      <c r="F41">
        <f t="shared" si="2"/>
        <v>15000.000000000002</v>
      </c>
    </row>
    <row r="42" spans="1:6" x14ac:dyDescent="0.2">
      <c r="A42">
        <v>40</v>
      </c>
      <c r="B42">
        <v>1000</v>
      </c>
      <c r="C42">
        <f t="shared" si="0"/>
        <v>15000</v>
      </c>
      <c r="D42">
        <f t="shared" si="1"/>
        <v>375</v>
      </c>
      <c r="E42">
        <v>1</v>
      </c>
      <c r="F42">
        <f t="shared" si="2"/>
        <v>15000</v>
      </c>
    </row>
    <row r="43" spans="1:6" x14ac:dyDescent="0.2">
      <c r="A43">
        <v>41</v>
      </c>
      <c r="B43">
        <v>1000</v>
      </c>
      <c r="C43">
        <f t="shared" si="0"/>
        <v>15000</v>
      </c>
      <c r="D43">
        <f t="shared" si="1"/>
        <v>365.85365853658539</v>
      </c>
      <c r="E43">
        <v>1</v>
      </c>
      <c r="F43">
        <f t="shared" si="2"/>
        <v>15000</v>
      </c>
    </row>
    <row r="44" spans="1:6" x14ac:dyDescent="0.2">
      <c r="A44">
        <v>42</v>
      </c>
      <c r="B44">
        <v>1000</v>
      </c>
      <c r="C44">
        <f t="shared" si="0"/>
        <v>15000</v>
      </c>
      <c r="D44">
        <f t="shared" si="1"/>
        <v>357.14285714285717</v>
      </c>
      <c r="E44">
        <v>1</v>
      </c>
      <c r="F44">
        <f t="shared" si="2"/>
        <v>15000.000000000002</v>
      </c>
    </row>
    <row r="45" spans="1:6" x14ac:dyDescent="0.2">
      <c r="A45">
        <v>43</v>
      </c>
      <c r="B45">
        <v>1000</v>
      </c>
      <c r="C45">
        <f t="shared" si="0"/>
        <v>16000</v>
      </c>
      <c r="D45">
        <f t="shared" si="1"/>
        <v>372.09302325581393</v>
      </c>
      <c r="E45">
        <v>1</v>
      </c>
      <c r="F45">
        <f t="shared" si="2"/>
        <v>16000</v>
      </c>
    </row>
    <row r="46" spans="1:6" x14ac:dyDescent="0.2">
      <c r="A46">
        <v>44</v>
      </c>
      <c r="B46">
        <v>1000</v>
      </c>
      <c r="C46">
        <f t="shared" si="0"/>
        <v>17000</v>
      </c>
      <c r="D46">
        <f t="shared" si="1"/>
        <v>386.36363636363637</v>
      </c>
      <c r="E46">
        <v>1</v>
      </c>
      <c r="F46">
        <f t="shared" si="2"/>
        <v>17000</v>
      </c>
    </row>
    <row r="47" spans="1:6" x14ac:dyDescent="0.2">
      <c r="A47">
        <v>45</v>
      </c>
      <c r="B47">
        <v>1000</v>
      </c>
      <c r="C47">
        <f t="shared" si="0"/>
        <v>17500</v>
      </c>
      <c r="D47">
        <f t="shared" si="1"/>
        <v>388.88888888888891</v>
      </c>
      <c r="E47">
        <v>1</v>
      </c>
      <c r="F47">
        <f t="shared" si="2"/>
        <v>17500</v>
      </c>
    </row>
    <row r="48" spans="1:6" x14ac:dyDescent="0.2">
      <c r="A48">
        <v>46</v>
      </c>
      <c r="B48">
        <v>1000</v>
      </c>
      <c r="C48">
        <f t="shared" si="0"/>
        <v>17500</v>
      </c>
      <c r="D48">
        <f t="shared" si="1"/>
        <v>380.43478260869563</v>
      </c>
      <c r="E48">
        <v>1</v>
      </c>
      <c r="F48">
        <f t="shared" si="2"/>
        <v>17500</v>
      </c>
    </row>
    <row r="49" spans="1:6" x14ac:dyDescent="0.2">
      <c r="A49">
        <v>47</v>
      </c>
      <c r="B49">
        <v>1000</v>
      </c>
      <c r="C49">
        <f t="shared" si="0"/>
        <v>17500</v>
      </c>
      <c r="D49">
        <f t="shared" si="1"/>
        <v>372.34042553191489</v>
      </c>
      <c r="E49">
        <v>1</v>
      </c>
      <c r="F49">
        <f t="shared" si="2"/>
        <v>17500</v>
      </c>
    </row>
    <row r="50" spans="1:6" x14ac:dyDescent="0.2">
      <c r="A50">
        <v>48</v>
      </c>
      <c r="B50">
        <v>1000</v>
      </c>
      <c r="C50">
        <f t="shared" si="0"/>
        <v>17500</v>
      </c>
      <c r="D50">
        <f t="shared" si="1"/>
        <v>364.58333333333331</v>
      </c>
      <c r="E50">
        <v>1</v>
      </c>
      <c r="F50">
        <f t="shared" si="2"/>
        <v>17500</v>
      </c>
    </row>
    <row r="51" spans="1:6" x14ac:dyDescent="0.2">
      <c r="A51">
        <v>49</v>
      </c>
      <c r="B51">
        <v>1000</v>
      </c>
      <c r="C51">
        <f t="shared" si="0"/>
        <v>17500</v>
      </c>
      <c r="D51">
        <f t="shared" si="1"/>
        <v>357.14285714285717</v>
      </c>
      <c r="E51">
        <v>1</v>
      </c>
      <c r="F51">
        <f t="shared" si="2"/>
        <v>17500</v>
      </c>
    </row>
    <row r="52" spans="1:6" x14ac:dyDescent="0.2">
      <c r="A52">
        <v>50</v>
      </c>
      <c r="B52">
        <v>1000</v>
      </c>
      <c r="C52">
        <f t="shared" si="0"/>
        <v>18500</v>
      </c>
      <c r="D52">
        <f t="shared" si="1"/>
        <v>370</v>
      </c>
      <c r="E52">
        <v>1</v>
      </c>
      <c r="F52">
        <f t="shared" si="2"/>
        <v>18500</v>
      </c>
    </row>
    <row r="53" spans="1:6" x14ac:dyDescent="0.2">
      <c r="A53">
        <v>51</v>
      </c>
      <c r="B53">
        <v>1000</v>
      </c>
      <c r="C53">
        <f t="shared" si="0"/>
        <v>19500</v>
      </c>
      <c r="D53">
        <f t="shared" si="1"/>
        <v>382.35294117647061</v>
      </c>
      <c r="E53">
        <v>1</v>
      </c>
      <c r="F53">
        <f t="shared" si="2"/>
        <v>19500</v>
      </c>
    </row>
    <row r="54" spans="1:6" x14ac:dyDescent="0.2">
      <c r="A54">
        <v>52</v>
      </c>
      <c r="B54">
        <v>1000</v>
      </c>
      <c r="C54">
        <f t="shared" si="0"/>
        <v>20000</v>
      </c>
      <c r="D54">
        <f t="shared" si="1"/>
        <v>384.61538461538464</v>
      </c>
      <c r="E54">
        <v>1</v>
      </c>
      <c r="F54">
        <f t="shared" si="2"/>
        <v>20000</v>
      </c>
    </row>
    <row r="55" spans="1:6" x14ac:dyDescent="0.2">
      <c r="A55">
        <v>53</v>
      </c>
      <c r="B55">
        <v>1000</v>
      </c>
      <c r="C55">
        <f t="shared" si="0"/>
        <v>20000</v>
      </c>
      <c r="D55">
        <f t="shared" si="1"/>
        <v>377.35849056603774</v>
      </c>
      <c r="E55">
        <v>1</v>
      </c>
      <c r="F55">
        <f t="shared" si="2"/>
        <v>20000</v>
      </c>
    </row>
    <row r="56" spans="1:6" x14ac:dyDescent="0.2">
      <c r="A56">
        <v>54</v>
      </c>
      <c r="B56">
        <v>1000</v>
      </c>
      <c r="C56">
        <f t="shared" si="0"/>
        <v>20000</v>
      </c>
      <c r="D56">
        <f t="shared" si="1"/>
        <v>370.37037037037038</v>
      </c>
      <c r="E56">
        <v>1</v>
      </c>
      <c r="F56">
        <f t="shared" si="2"/>
        <v>20000</v>
      </c>
    </row>
    <row r="57" spans="1:6" x14ac:dyDescent="0.2">
      <c r="A57">
        <v>55</v>
      </c>
      <c r="B57">
        <v>1000</v>
      </c>
      <c r="C57">
        <f t="shared" si="0"/>
        <v>20000</v>
      </c>
      <c r="D57">
        <f t="shared" si="1"/>
        <v>363.63636363636363</v>
      </c>
      <c r="E57">
        <v>1</v>
      </c>
      <c r="F57">
        <f t="shared" si="2"/>
        <v>20000</v>
      </c>
    </row>
    <row r="58" spans="1:6" x14ac:dyDescent="0.2">
      <c r="A58">
        <v>56</v>
      </c>
      <c r="B58">
        <v>1000</v>
      </c>
      <c r="C58">
        <f t="shared" si="0"/>
        <v>20000</v>
      </c>
      <c r="D58">
        <f t="shared" si="1"/>
        <v>357.14285714285717</v>
      </c>
      <c r="E58">
        <v>1</v>
      </c>
      <c r="F58">
        <f t="shared" si="2"/>
        <v>20000</v>
      </c>
    </row>
    <row r="59" spans="1:6" x14ac:dyDescent="0.2">
      <c r="A59">
        <v>57</v>
      </c>
      <c r="B59">
        <v>1000</v>
      </c>
      <c r="C59">
        <f t="shared" si="0"/>
        <v>21000</v>
      </c>
      <c r="D59">
        <f t="shared" si="1"/>
        <v>368.42105263157896</v>
      </c>
      <c r="E59">
        <v>1</v>
      </c>
      <c r="F59">
        <f t="shared" si="2"/>
        <v>21000</v>
      </c>
    </row>
    <row r="60" spans="1:6" x14ac:dyDescent="0.2">
      <c r="A60">
        <v>58</v>
      </c>
      <c r="B60">
        <v>1000</v>
      </c>
      <c r="C60">
        <f t="shared" si="0"/>
        <v>22000</v>
      </c>
      <c r="D60">
        <f t="shared" si="1"/>
        <v>379.31034482758622</v>
      </c>
      <c r="E60">
        <v>1</v>
      </c>
      <c r="F60">
        <f t="shared" si="2"/>
        <v>22000</v>
      </c>
    </row>
    <row r="61" spans="1:6" x14ac:dyDescent="0.2">
      <c r="A61">
        <v>59</v>
      </c>
      <c r="B61">
        <v>1000</v>
      </c>
      <c r="C61">
        <f t="shared" si="0"/>
        <v>22500</v>
      </c>
      <c r="D61">
        <f t="shared" si="1"/>
        <v>381.35593220338984</v>
      </c>
      <c r="E61">
        <v>1</v>
      </c>
      <c r="F61">
        <f t="shared" si="2"/>
        <v>22500</v>
      </c>
    </row>
    <row r="62" spans="1:6" x14ac:dyDescent="0.2">
      <c r="A62">
        <v>60</v>
      </c>
      <c r="B62">
        <v>1000</v>
      </c>
      <c r="C62">
        <f t="shared" si="0"/>
        <v>22500</v>
      </c>
      <c r="D62">
        <f>C62/A62</f>
        <v>375</v>
      </c>
      <c r="E62">
        <v>1</v>
      </c>
      <c r="F62">
        <f t="shared" si="2"/>
        <v>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Guzmán Perera</dc:creator>
  <cp:lastModifiedBy>Juan Pablo Guzmán Perera</cp:lastModifiedBy>
  <dcterms:created xsi:type="dcterms:W3CDTF">2026-05-12T16:13:23Z</dcterms:created>
  <dcterms:modified xsi:type="dcterms:W3CDTF">2026-05-13T00:42:41Z</dcterms:modified>
</cp:coreProperties>
</file>